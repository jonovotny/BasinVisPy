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annes Novotny\Dropbox (Personal)\Shared_Eun Young\BasinVis\BasinVis-mini\"/>
    </mc:Choice>
  </mc:AlternateContent>
  <xr:revisionPtr revIDLastSave="0" documentId="13_ncr:1_{96EE91C9-423D-40A8-8C06-29741AD2AD87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Total-Tect Subsidence_Zavod_cal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ecomp">
          <x14:argumentDescriptions count="5">
            <x14:argumentDescription index="0">Initial porosity</x14:argumentDescription>
            <x14:argumentDescription index="1">Coefficient</x14:argumentDescription>
            <x14:argumentDescription index="2">Present top depth</x14:argumentDescription>
            <x14:argumentDescription index="3">Present bottom depth</x14:argumentDescription>
            <x14:argumentDescription index="4">Decompacted top depth</x14:argumentDescription>
          </x14:argumentDescriptions>
        </x14:definedName>
        <x14:definedName name="subdata">
          <x14:argumentDescriptions count="1">
            <x14:argumentDescription index="0">Input data range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" l="1" a="1"/>
  <c r="J13" i="1"/>
  <c r="G11" i="1"/>
  <c r="I11" i="1"/>
  <c r="G6" i="1"/>
  <c r="G7" i="1"/>
  <c r="G8" i="1"/>
  <c r="G9" i="1"/>
  <c r="I9" i="1"/>
  <c r="G10" i="1"/>
  <c r="F11" i="1"/>
  <c r="I10" i="1"/>
  <c r="F10" i="1"/>
  <c r="C10" i="1"/>
  <c r="F9" i="1"/>
  <c r="C9" i="1"/>
  <c r="I8" i="1"/>
  <c r="F8" i="1"/>
  <c r="C8" i="1"/>
  <c r="I7" i="1"/>
  <c r="F7" i="1"/>
  <c r="C7" i="1"/>
  <c r="I6" i="1"/>
  <c r="F6" i="1"/>
  <c r="C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<sst xmlns="http://schemas.openxmlformats.org/spreadsheetml/2006/main" count="39" uniqueCount="38">
  <si>
    <t>Zavod 68</t>
  </si>
  <si>
    <t>Age (Ma)</t>
  </si>
  <si>
    <t>Porosity (0-1)</t>
  </si>
  <si>
    <t>Unit</t>
  </si>
  <si>
    <t>Stages</t>
  </si>
  <si>
    <t>Bottom</t>
  </si>
  <si>
    <t>Top</t>
  </si>
  <si>
    <t>Lithology</t>
  </si>
  <si>
    <t>Pannonian</t>
  </si>
  <si>
    <t>m.s., m.m.</t>
  </si>
  <si>
    <t>Sarmatian</t>
  </si>
  <si>
    <t>m.m.w s.</t>
  </si>
  <si>
    <t>Upper Badenian</t>
  </si>
  <si>
    <t>Lower Badenian</t>
  </si>
  <si>
    <t>Karpatian</t>
  </si>
  <si>
    <t>Eggen.-Ottnan.</t>
  </si>
  <si>
    <r>
      <rPr>
        <sz val="12"/>
        <color theme="1"/>
        <rFont val="Times New Roman"/>
        <family val="1"/>
      </rPr>
      <t>ϕ</t>
    </r>
    <r>
      <rPr>
        <sz val="12"/>
        <color theme="1"/>
        <rFont val="Calibri"/>
        <family val="3"/>
        <charset val="129"/>
        <scheme val="minor"/>
      </rPr>
      <t xml:space="preserve"> = </t>
    </r>
    <r>
      <rPr>
        <sz val="12"/>
        <color theme="1"/>
        <rFont val="Times New Roman"/>
        <family val="1"/>
      </rPr>
      <t>ϕ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3"/>
        <charset val="129"/>
        <scheme val="minor"/>
      </rPr>
      <t>exp(−cy)</t>
    </r>
  </si>
  <si>
    <t>Input data</t>
  </si>
  <si>
    <t>Depth (km)</t>
  </si>
  <si>
    <t>Thickness (km)</t>
  </si>
  <si>
    <t>Mid-Depth (km)</t>
  </si>
  <si>
    <t>Initial</t>
  </si>
  <si>
    <t>Present</t>
  </si>
  <si>
    <t>coeffic.</t>
  </si>
  <si>
    <t>Grain</t>
  </si>
  <si>
    <t>Water</t>
  </si>
  <si>
    <r>
      <t>Density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</si>
  <si>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Asthenosphere</t>
  </si>
  <si>
    <t>Environment (km)</t>
  </si>
  <si>
    <t>Sealevel</t>
  </si>
  <si>
    <t>Waterdepth</t>
  </si>
  <si>
    <r>
      <t>(0.xxx*10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</si>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</sst>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3"/>
      <charset val="129"/>
      <scheme val="minor"/>
    </font>
    <font>
      <sz val="10"/>
      <color rgb="FF7030A0"/>
      <name val="Calibri"/>
      <family val="3"/>
      <charset val="129"/>
      <scheme val="minor"/>
    </font>
    <font>
      <sz val="11"/>
      <color theme="1"/>
      <name val="Calibri"/>
      <family val="2"/>
      <charset val="129"/>
      <scheme val="minor"/>
    </font>
    <font>
      <sz val="10"/>
      <color rgb="FF0000FF"/>
      <name val="Calibri"/>
      <family val="3"/>
      <charset val="129"/>
      <scheme val="minor"/>
    </font>
    <font>
      <sz val="10"/>
      <color rgb="FF0000FF"/>
      <name val="Arial"/>
      <family val="2"/>
    </font>
    <font>
      <sz val="11"/>
      <color rgb="FF0000FF"/>
      <name val="Calibri"/>
      <family val="2"/>
      <charset val="129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3"/>
      <charset val="129"/>
      <scheme val="minor"/>
    </font>
    <font>
      <sz val="12"/>
      <color theme="1"/>
      <name val="Times New Roman"/>
      <family val="1"/>
    </font>
    <font>
      <vertAlign val="subscript"/>
      <sz val="12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FF"/>
      <name val="Calibri"/>
      <family val="3"/>
      <charset val="129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3" fillId="0" borderId="0"/>
    <xf numFmtId="0" fontId="7" fillId="4" borderId="0" applyNumberFormat="0" applyBorder="0" applyAlignment="0" applyProtection="0">
      <alignment vertical="center"/>
    </xf>
    <xf numFmtId="0" fontId="3" fillId="3" borderId="1" applyNumberFormat="0" applyFont="0" applyAlignment="0" applyProtection="0"/>
    <xf numFmtId="0" fontId="7" fillId="0" borderId="0">
      <alignment vertical="center"/>
    </xf>
    <xf numFmtId="0" fontId="2" fillId="3" borderId="1" applyNumberFormat="0" applyFont="0" applyAlignment="0" applyProtection="0"/>
    <xf numFmtId="0" fontId="2" fillId="0" borderId="0"/>
    <xf numFmtId="0" fontId="16" fillId="2" borderId="0" applyNumberFormat="0" applyBorder="0" applyAlignment="0" applyProtection="0"/>
  </cellStyleXfs>
  <cellXfs count="61">
    <xf numFmtId="0" fontId="0" fillId="0" borderId="0" xfId="0">
      <alignment vertical="center"/>
    </xf>
    <xf numFmtId="0" fontId="4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12" fillId="0" borderId="0" xfId="4" applyFont="1" applyAlignment="1">
      <alignment horizontal="center" vertical="center"/>
    </xf>
    <xf numFmtId="2" fontId="13" fillId="0" borderId="0" xfId="2" applyNumberFormat="1" applyFont="1" applyFill="1" applyBorder="1" applyAlignment="1">
      <alignment horizontal="right" vertical="center"/>
    </xf>
    <xf numFmtId="2" fontId="5" fillId="0" borderId="0" xfId="2" applyNumberFormat="1" applyFont="1" applyFill="1" applyBorder="1" applyAlignment="1">
      <alignment horizontal="center" vertical="center"/>
    </xf>
    <xf numFmtId="2" fontId="5" fillId="0" borderId="0" xfId="1" applyNumberFormat="1" applyFont="1" applyAlignment="1">
      <alignment horizontal="center" vertical="center"/>
    </xf>
    <xf numFmtId="2" fontId="5" fillId="0" borderId="6" xfId="1" applyNumberFormat="1" applyFont="1" applyBorder="1" applyAlignment="1">
      <alignment horizontal="center" vertical="center"/>
    </xf>
    <xf numFmtId="2" fontId="8" fillId="0" borderId="0" xfId="1" applyNumberFormat="1" applyFont="1" applyAlignment="1">
      <alignment horizontal="center" vertical="center"/>
    </xf>
    <xf numFmtId="2" fontId="11" fillId="0" borderId="0" xfId="1" applyNumberFormat="1" applyFont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2" fillId="4" borderId="8" xfId="2" applyFont="1" applyBorder="1" applyAlignment="1">
      <alignment horizontal="center" vertical="center"/>
    </xf>
    <xf numFmtId="0" fontId="8" fillId="0" borderId="5" xfId="3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9" xfId="4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2" fontId="5" fillId="0" borderId="9" xfId="1" applyNumberFormat="1" applyFont="1" applyBorder="1" applyAlignment="1">
      <alignment horizontal="center" vertical="center"/>
    </xf>
    <xf numFmtId="0" fontId="10" fillId="0" borderId="4" xfId="0" applyFont="1" applyBorder="1" applyAlignment="1">
      <alignment horizontal="center"/>
    </xf>
    <xf numFmtId="2" fontId="5" fillId="0" borderId="10" xfId="1" applyNumberFormat="1" applyFont="1" applyBorder="1" applyAlignment="1">
      <alignment horizontal="center" vertical="center"/>
    </xf>
    <xf numFmtId="2" fontId="8" fillId="0" borderId="5" xfId="2" applyNumberFormat="1" applyFont="1" applyFill="1" applyBorder="1" applyAlignment="1">
      <alignment horizontal="center" vertical="center"/>
    </xf>
    <xf numFmtId="2" fontId="8" fillId="0" borderId="9" xfId="2" applyNumberFormat="1" applyFont="1" applyFill="1" applyBorder="1" applyAlignment="1">
      <alignment horizontal="center" vertical="center"/>
    </xf>
    <xf numFmtId="2" fontId="8" fillId="0" borderId="4" xfId="2" applyNumberFormat="1" applyFont="1" applyFill="1" applyBorder="1" applyAlignment="1">
      <alignment horizontal="center" vertical="center"/>
    </xf>
    <xf numFmtId="2" fontId="8" fillId="0" borderId="10" xfId="2" applyNumberFormat="1" applyFont="1" applyFill="1" applyBorder="1" applyAlignment="1">
      <alignment horizontal="center" vertical="center"/>
    </xf>
    <xf numFmtId="0" fontId="2" fillId="4" borderId="4" xfId="2" applyFont="1" applyBorder="1" applyAlignment="1">
      <alignment horizontal="center" vertical="center"/>
    </xf>
    <xf numFmtId="0" fontId="2" fillId="4" borderId="10" xfId="2" applyFont="1" applyBorder="1" applyAlignment="1">
      <alignment horizontal="center" vertical="center"/>
    </xf>
    <xf numFmtId="0" fontId="2" fillId="4" borderId="4" xfId="2" applyNumberFormat="1" applyFont="1" applyBorder="1" applyAlignment="1">
      <alignment horizontal="center" vertical="center"/>
    </xf>
    <xf numFmtId="0" fontId="2" fillId="4" borderId="6" xfId="2" applyNumberFormat="1" applyFont="1" applyBorder="1" applyAlignment="1">
      <alignment horizontal="center" vertical="center"/>
    </xf>
    <xf numFmtId="0" fontId="7" fillId="4" borderId="10" xfId="2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0" fillId="4" borderId="10" xfId="2" applyFont="1" applyBorder="1" applyAlignment="1">
      <alignment horizontal="center" vertical="center"/>
    </xf>
    <xf numFmtId="2" fontId="8" fillId="0" borderId="5" xfId="1" applyNumberFormat="1" applyFont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2" fontId="8" fillId="0" borderId="4" xfId="1" applyNumberFormat="1" applyFont="1" applyBorder="1" applyAlignment="1">
      <alignment horizontal="center" vertical="center"/>
    </xf>
    <xf numFmtId="2" fontId="8" fillId="0" borderId="6" xfId="1" applyNumberFormat="1" applyFont="1" applyBorder="1" applyAlignment="1">
      <alignment horizontal="center" vertical="center"/>
    </xf>
    <xf numFmtId="0" fontId="17" fillId="0" borderId="12" xfId="0" applyFont="1" applyBorder="1" applyAlignment="1">
      <alignment horizontal="center"/>
    </xf>
    <xf numFmtId="0" fontId="5" fillId="6" borderId="0" xfId="1" applyFont="1" applyFill="1" applyAlignment="1">
      <alignment horizontal="center" vertical="center"/>
    </xf>
    <xf numFmtId="0" fontId="4" fillId="6" borderId="0" xfId="1" applyFont="1" applyFill="1" applyAlignment="1">
      <alignment horizontal="left" vertical="top"/>
    </xf>
    <xf numFmtId="2" fontId="19" fillId="0" borderId="6" xfId="1" applyNumberFormat="1" applyFont="1" applyBorder="1" applyAlignment="1">
      <alignment horizontal="center" vertical="center"/>
    </xf>
    <xf numFmtId="0" fontId="7" fillId="4" borderId="2" xfId="2" applyBorder="1" applyAlignment="1">
      <alignment horizontal="center" vertical="center"/>
    </xf>
    <xf numFmtId="0" fontId="7" fillId="4" borderId="12" xfId="2" applyBorder="1" applyAlignment="1">
      <alignment horizontal="center" vertical="center"/>
    </xf>
    <xf numFmtId="0" fontId="2" fillId="4" borderId="8" xfId="2" applyNumberFormat="1" applyFont="1" applyBorder="1" applyAlignment="1">
      <alignment horizontal="center" vertical="center"/>
    </xf>
    <xf numFmtId="0" fontId="2" fillId="4" borderId="10" xfId="2" applyNumberFormat="1" applyFont="1" applyBorder="1" applyAlignment="1">
      <alignment horizontal="center" vertical="center"/>
    </xf>
    <xf numFmtId="0" fontId="2" fillId="4" borderId="3" xfId="2" applyFont="1" applyBorder="1" applyAlignment="1">
      <alignment horizontal="center" vertical="center"/>
    </xf>
    <xf numFmtId="0" fontId="2" fillId="4" borderId="4" xfId="2" applyFont="1" applyBorder="1" applyAlignment="1">
      <alignment horizontal="center" vertical="center"/>
    </xf>
    <xf numFmtId="0" fontId="2" fillId="4" borderId="7" xfId="2" applyFont="1" applyBorder="1" applyAlignment="1">
      <alignment horizontal="center" vertical="center"/>
    </xf>
    <xf numFmtId="0" fontId="2" fillId="4" borderId="8" xfId="2" applyFont="1" applyBorder="1" applyAlignment="1">
      <alignment horizontal="center" vertical="center"/>
    </xf>
    <xf numFmtId="0" fontId="0" fillId="4" borderId="3" xfId="2" applyFont="1" applyBorder="1" applyAlignment="1">
      <alignment horizontal="center" vertical="center"/>
    </xf>
    <xf numFmtId="0" fontId="7" fillId="4" borderId="8" xfId="2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4" borderId="3" xfId="2" applyFont="1" applyBorder="1" applyAlignment="1">
      <alignment horizontal="center" vertical="center" wrapText="1"/>
    </xf>
    <xf numFmtId="0" fontId="2" fillId="4" borderId="4" xfId="2" applyFont="1" applyBorder="1" applyAlignment="1">
      <alignment horizontal="center" vertical="center" wrapText="1"/>
    </xf>
    <xf numFmtId="0" fontId="2" fillId="4" borderId="7" xfId="2" applyNumberFormat="1" applyFont="1" applyBorder="1" applyAlignment="1">
      <alignment horizontal="center" vertical="center" wrapText="1"/>
    </xf>
    <xf numFmtId="0" fontId="2" fillId="4" borderId="6" xfId="2" applyNumberFormat="1" applyFont="1" applyBorder="1" applyAlignment="1">
      <alignment horizontal="center" vertical="center" wrapText="1"/>
    </xf>
    <xf numFmtId="0" fontId="2" fillId="4" borderId="8" xfId="2" applyFont="1" applyBorder="1" applyAlignment="1">
      <alignment horizontal="center" vertical="center" wrapText="1"/>
    </xf>
    <xf numFmtId="0" fontId="2" fillId="4" borderId="10" xfId="2" applyFont="1" applyBorder="1" applyAlignment="1">
      <alignment horizontal="center" vertical="center" wrapText="1"/>
    </xf>
  </cellXfs>
  <cellStyles count="8">
    <cellStyle name="20% - Accent1 2" xfId="2" xr:uid="{00000000-0005-0000-0000-000000000000}"/>
    <cellStyle name="Neutral 2" xfId="7" xr:uid="{00000000-0005-0000-0000-000004000000}"/>
    <cellStyle name="Normal" xfId="0" builtinId="0"/>
    <cellStyle name="Normal 2" xfId="1" xr:uid="{00000000-0005-0000-0000-000006000000}"/>
    <cellStyle name="Normal 2 2" xfId="4" xr:uid="{00000000-0005-0000-0000-000007000000}"/>
    <cellStyle name="Note 2" xfId="3" xr:uid="{00000000-0005-0000-0000-000008000000}"/>
    <cellStyle name="메모 2" xfId="5" xr:uid="{00000000-0005-0000-0000-000009000000}"/>
    <cellStyle name="표준 2" xfId="6" xr:uid="{00000000-0005-0000-0000-00000A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3"/>
  <sheetViews>
    <sheetView tabSelected="1" topLeftCell="C1" zoomScaleNormal="100" workbookViewId="0">
      <selection activeCell="C37" sqref="A37:XFD37"/>
    </sheetView>
  </sheetViews>
  <sheetFormatPr defaultColWidth="8.5703125" defaultRowHeight="15" customHeight="1"/>
  <cols>
    <col min="1" max="1" width="8.5703125" style="2"/>
    <col min="2" max="2" width="14.85546875" style="2" customWidth="1"/>
    <col min="3" max="3" width="9.85546875" style="2" customWidth="1"/>
    <col min="4" max="6" width="8.5703125" style="2"/>
    <col min="7" max="7" width="10.140625" style="2" customWidth="1"/>
    <col min="8" max="8" width="8.5703125" style="2"/>
    <col min="9" max="9" width="8.5703125" style="2" customWidth="1"/>
    <col min="10" max="10" width="9.85546875" style="2" customWidth="1"/>
    <col min="11" max="12" width="7.42578125" style="2" customWidth="1"/>
    <col min="13" max="13" width="13.5703125" style="2" customWidth="1"/>
    <col min="14" max="16" width="9.85546875" style="2" customWidth="1"/>
    <col min="17" max="16384" width="8.5703125" style="2"/>
  </cols>
  <sheetData>
    <row r="1" spans="1:16" ht="15" customHeight="1">
      <c r="A1" s="1" t="s">
        <v>0</v>
      </c>
    </row>
    <row r="2" spans="1:16" ht="15" customHeight="1">
      <c r="A2" s="1"/>
    </row>
    <row r="3" spans="1:16" ht="15" customHeight="1">
      <c r="A3" s="42" t="s">
        <v>17</v>
      </c>
      <c r="B3" s="41"/>
      <c r="C3" s="54"/>
      <c r="D3" s="54"/>
      <c r="O3" s="3"/>
      <c r="P3" s="3"/>
    </row>
    <row r="4" spans="1:16" ht="15" customHeight="1">
      <c r="A4" s="48" t="s">
        <v>3</v>
      </c>
      <c r="B4" s="46" t="s">
        <v>4</v>
      </c>
      <c r="C4" s="48" t="s">
        <v>1</v>
      </c>
      <c r="D4" s="51"/>
      <c r="E4" s="55" t="s">
        <v>18</v>
      </c>
      <c r="F4" s="57" t="s">
        <v>19</v>
      </c>
      <c r="G4" s="59" t="s">
        <v>20</v>
      </c>
      <c r="H4" s="48" t="s">
        <v>2</v>
      </c>
      <c r="I4" s="50"/>
      <c r="J4" s="15" t="s">
        <v>23</v>
      </c>
      <c r="K4" s="48" t="s">
        <v>26</v>
      </c>
      <c r="L4" s="50"/>
      <c r="M4" s="51"/>
      <c r="N4" s="52" t="s">
        <v>28</v>
      </c>
      <c r="O4" s="53"/>
      <c r="P4" s="44" t="s">
        <v>7</v>
      </c>
    </row>
    <row r="5" spans="1:16" ht="15" customHeight="1">
      <c r="A5" s="49"/>
      <c r="B5" s="47"/>
      <c r="C5" s="29" t="s">
        <v>5</v>
      </c>
      <c r="D5" s="30" t="s">
        <v>6</v>
      </c>
      <c r="E5" s="56"/>
      <c r="F5" s="58"/>
      <c r="G5" s="60"/>
      <c r="H5" s="31" t="s">
        <v>21</v>
      </c>
      <c r="I5" s="32" t="s">
        <v>22</v>
      </c>
      <c r="J5" s="30" t="s">
        <v>31</v>
      </c>
      <c r="K5" s="31" t="s">
        <v>24</v>
      </c>
      <c r="L5" s="32" t="s">
        <v>25</v>
      </c>
      <c r="M5" s="33" t="s">
        <v>27</v>
      </c>
      <c r="N5" s="34" t="s">
        <v>30</v>
      </c>
      <c r="O5" s="35" t="s">
        <v>29</v>
      </c>
      <c r="P5" s="45"/>
    </row>
    <row r="6" spans="1:16" ht="15" customHeight="1">
      <c r="A6" s="11" t="s">
        <v>37</v>
      </c>
      <c r="B6" s="12" t="s">
        <v>8</v>
      </c>
      <c r="C6" s="16">
        <f>D7</f>
        <v>11.6</v>
      </c>
      <c r="D6" s="17">
        <v>7.8</v>
      </c>
      <c r="E6" s="21">
        <v>0.33</v>
      </c>
      <c r="F6" s="7">
        <f>E6</f>
        <v>0.33</v>
      </c>
      <c r="G6" s="22">
        <f>E6/2</f>
        <v>0.16500000000000001</v>
      </c>
      <c r="H6" s="25">
        <v>0.39693000000000001</v>
      </c>
      <c r="I6" s="10">
        <f t="shared" ref="I6:I10" si="0">H6*EXP(-(J6*10^(-3))*G6*1000)</f>
        <v>0.38328542350692946</v>
      </c>
      <c r="J6" s="26">
        <v>0.21199999999999999</v>
      </c>
      <c r="K6" s="36">
        <v>2.68</v>
      </c>
      <c r="L6" s="9">
        <v>1</v>
      </c>
      <c r="M6" s="12">
        <v>3.3</v>
      </c>
      <c r="N6" s="36">
        <v>0.05</v>
      </c>
      <c r="O6" s="12">
        <v>0</v>
      </c>
      <c r="P6" s="37" t="s">
        <v>9</v>
      </c>
    </row>
    <row r="7" spans="1:16" ht="15" customHeight="1">
      <c r="A7" s="11" t="s">
        <v>36</v>
      </c>
      <c r="B7" s="12" t="s">
        <v>10</v>
      </c>
      <c r="C7" s="16">
        <f>D8</f>
        <v>12.7</v>
      </c>
      <c r="D7" s="18">
        <v>11.6</v>
      </c>
      <c r="E7" s="21">
        <v>0.7</v>
      </c>
      <c r="F7" s="7">
        <f>E7-E6</f>
        <v>0.36999999999999994</v>
      </c>
      <c r="G7" s="22">
        <f>(E6+E7)/2</f>
        <v>0.51500000000000001</v>
      </c>
      <c r="H7" s="25">
        <v>0.38179999999999997</v>
      </c>
      <c r="I7" s="10">
        <f t="shared" si="0"/>
        <v>0.34781888931232408</v>
      </c>
      <c r="J7" s="26">
        <v>0.18099999999999999</v>
      </c>
      <c r="K7" s="36">
        <v>2.68</v>
      </c>
      <c r="L7" s="9">
        <v>1</v>
      </c>
      <c r="M7" s="12">
        <v>3.3</v>
      </c>
      <c r="N7" s="36">
        <v>0.1</v>
      </c>
      <c r="O7" s="12">
        <v>0</v>
      </c>
      <c r="P7" s="37" t="s">
        <v>11</v>
      </c>
    </row>
    <row r="8" spans="1:16" ht="15" customHeight="1">
      <c r="A8" s="11" t="s">
        <v>35</v>
      </c>
      <c r="B8" s="12" t="s">
        <v>12</v>
      </c>
      <c r="C8" s="16">
        <f>D9</f>
        <v>14.2</v>
      </c>
      <c r="D8" s="18">
        <v>12.7</v>
      </c>
      <c r="E8" s="21">
        <v>1.37</v>
      </c>
      <c r="F8" s="7">
        <f>E8-E7</f>
        <v>0.67000000000000015</v>
      </c>
      <c r="G8" s="22">
        <f>(E7+E8)/2</f>
        <v>1.0350000000000001</v>
      </c>
      <c r="H8" s="25">
        <v>0.38489000000000001</v>
      </c>
      <c r="I8" s="10">
        <f t="shared" si="0"/>
        <v>0.32179110062167282</v>
      </c>
      <c r="J8" s="26">
        <v>0.17299999999999999</v>
      </c>
      <c r="K8" s="36">
        <v>2.68</v>
      </c>
      <c r="L8" s="9">
        <v>1</v>
      </c>
      <c r="M8" s="12">
        <v>3.3</v>
      </c>
      <c r="N8" s="36">
        <v>0.1</v>
      </c>
      <c r="O8" s="12">
        <v>0</v>
      </c>
      <c r="P8" s="37"/>
    </row>
    <row r="9" spans="1:16" ht="15" customHeight="1">
      <c r="A9" s="11" t="s">
        <v>34</v>
      </c>
      <c r="B9" s="12" t="s">
        <v>13</v>
      </c>
      <c r="C9" s="16">
        <f>D10</f>
        <v>16.3</v>
      </c>
      <c r="D9" s="18">
        <v>14.2</v>
      </c>
      <c r="E9" s="21">
        <v>1.63</v>
      </c>
      <c r="F9" s="7">
        <f>E9-E8</f>
        <v>0.25999999999999979</v>
      </c>
      <c r="G9" s="22">
        <f>(E8+E9)/2</f>
        <v>1.5</v>
      </c>
      <c r="H9" s="25">
        <v>0.38489000000000001</v>
      </c>
      <c r="I9" s="10">
        <f t="shared" si="0"/>
        <v>0.29691846698480368</v>
      </c>
      <c r="J9" s="26">
        <v>0.17299999999999999</v>
      </c>
      <c r="K9" s="36">
        <v>2.68</v>
      </c>
      <c r="L9" s="9">
        <v>1</v>
      </c>
      <c r="M9" s="12">
        <v>3.3</v>
      </c>
      <c r="N9" s="36">
        <v>0.1</v>
      </c>
      <c r="O9" s="12">
        <v>0</v>
      </c>
      <c r="P9" s="37" t="s">
        <v>11</v>
      </c>
    </row>
    <row r="10" spans="1:16" ht="15" customHeight="1">
      <c r="A10" s="11" t="s">
        <v>33</v>
      </c>
      <c r="B10" s="12" t="s">
        <v>14</v>
      </c>
      <c r="C10" s="16">
        <f>D11</f>
        <v>17.5</v>
      </c>
      <c r="D10" s="18">
        <v>16.3</v>
      </c>
      <c r="E10" s="21">
        <v>3.04</v>
      </c>
      <c r="F10" s="7">
        <f>E10-E9</f>
        <v>1.4100000000000001</v>
      </c>
      <c r="G10" s="22">
        <f>(E9+E10)/2</f>
        <v>2.335</v>
      </c>
      <c r="H10" s="25">
        <v>0.41381000000000001</v>
      </c>
      <c r="I10" s="10">
        <f t="shared" si="0"/>
        <v>0.26184348278067626</v>
      </c>
      <c r="J10" s="26">
        <v>0.19600000000000001</v>
      </c>
      <c r="K10" s="36">
        <v>2.68</v>
      </c>
      <c r="L10" s="9">
        <v>1</v>
      </c>
      <c r="M10" s="12">
        <v>3.3</v>
      </c>
      <c r="N10" s="36">
        <v>0.2</v>
      </c>
      <c r="O10" s="12">
        <v>0</v>
      </c>
      <c r="P10" s="37"/>
    </row>
    <row r="11" spans="1:16" ht="15" customHeight="1">
      <c r="A11" s="13" t="s">
        <v>32</v>
      </c>
      <c r="B11" s="14" t="s">
        <v>15</v>
      </c>
      <c r="C11" s="19">
        <v>20.399999999999999</v>
      </c>
      <c r="D11" s="20">
        <v>17.5</v>
      </c>
      <c r="E11" s="23">
        <v>3.17</v>
      </c>
      <c r="F11" s="8">
        <f>E11-E10</f>
        <v>0.12999999999999989</v>
      </c>
      <c r="G11" s="24">
        <f>(E10+E11)/2</f>
        <v>3.105</v>
      </c>
      <c r="H11" s="27">
        <v>0.39717999999999998</v>
      </c>
      <c r="I11" s="43">
        <f>H11*EXP(-(J11*10^(-3))*G11*1000)</f>
        <v>0.157938320216991</v>
      </c>
      <c r="J11" s="28">
        <v>0.29699999999999999</v>
      </c>
      <c r="K11" s="38">
        <v>2.68</v>
      </c>
      <c r="L11" s="39">
        <v>1</v>
      </c>
      <c r="M11" s="14">
        <v>3.3</v>
      </c>
      <c r="N11" s="38">
        <v>0.05</v>
      </c>
      <c r="O11" s="14">
        <v>0</v>
      </c>
      <c r="P11" s="40"/>
    </row>
    <row r="12" spans="1:16" ht="15" customHeight="1">
      <c r="D12" s="4"/>
      <c r="I12" s="5" t="s">
        <v>16</v>
      </c>
      <c r="J12" s="6"/>
    </row>
    <row r="13" spans="1:16" ht="15" customHeight="1">
      <c r="D13" s="4"/>
      <c r="H13" s="5"/>
      <c r="I13" s="6"/>
      <c r="J13" s="2" t="str" cm="1">
        <f t="array" ref="J13">subdata(A6:P11)</f>
        <v>Input data (A6:P11)</v>
      </c>
    </row>
  </sheetData>
  <mergeCells count="11">
    <mergeCell ref="C3:D3"/>
    <mergeCell ref="C4:D4"/>
    <mergeCell ref="E4:E5"/>
    <mergeCell ref="F4:F5"/>
    <mergeCell ref="G4:G5"/>
    <mergeCell ref="P4:P5"/>
    <mergeCell ref="B4:B5"/>
    <mergeCell ref="A4:A5"/>
    <mergeCell ref="H4:I4"/>
    <mergeCell ref="K4:M4"/>
    <mergeCell ref="N4:O4"/>
  </mergeCell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Total-Tect Subsidence_Zavod_cal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eylee</dc:creator>
  <cp:lastModifiedBy>Johannes N.</cp:lastModifiedBy>
  <dcterms:created xsi:type="dcterms:W3CDTF">2023-03-13T01:46:40Z</dcterms:created>
  <dcterms:modified xsi:type="dcterms:W3CDTF">2023-06-12T22:27:03Z</dcterms:modified>
</cp:coreProperties>
</file>